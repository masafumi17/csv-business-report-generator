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日別集計" sheetId="2" state="visible" r:id="rId2"/>
    <sheet name="担当者別集計" sheetId="3" state="visible" r:id="rId3"/>
    <sheet name="カテゴリ別集計" sheetId="4" state="visible" r:id="rId4"/>
    <sheet name="商品別集計" sheetId="5" state="visible" r:id="rId5"/>
    <sheet name="エラーデー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¥#,##0"/>
    <numFmt numFmtId="165" formatCode="#,##0&quot;個&quot;"/>
    <numFmt numFmtId="166" formatCode="#,##0&quot;件&quot;"/>
    <numFmt numFmtId="167" formatCode="0.0%"/>
  </numFmts>
  <fonts count="7">
    <font>
      <name val="Calibri"/>
      <family val="2"/>
      <color theme="1"/>
      <sz val="11"/>
      <scheme val="minor"/>
    </font>
    <font>
      <name val="游ゴシック"/>
      <b val="1"/>
      <color rgb="001B365D"/>
      <sz val="16"/>
    </font>
    <font>
      <name val="游ゴシック"/>
      <b val="1"/>
      <color rgb="001B365D"/>
      <sz val="10"/>
    </font>
    <font>
      <name val="游ゴシック"/>
      <b val="1"/>
      <color rgb="00000000"/>
      <sz val="16"/>
    </font>
    <font>
      <name val="游ゴシック"/>
      <b val="1"/>
      <color rgb="001B365D"/>
      <sz val="12"/>
    </font>
    <font>
      <name val="游ゴシック"/>
      <b val="1"/>
      <color rgb="00FFFFFF"/>
      <sz val="11"/>
    </font>
    <font>
      <name val="游ゴシック"/>
      <sz val="10"/>
    </font>
  </fonts>
  <fills count="5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B365D"/>
        <bgColor rgb="001B365D"/>
      </patternFill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164" fontId="6" fillId="0" borderId="1" pivotButton="0" quotePrefix="0" xfId="0"/>
    <xf numFmtId="3" fontId="6" fillId="0" borderId="1" pivotButton="0" quotePrefix="0" xfId="0"/>
    <xf numFmtId="167" fontId="6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日別売上推移</a:t>
            </a:r>
          </a:p>
        </rich>
      </tx>
    </title>
    <plotArea>
      <lineChart>
        <grouping val="standard"/>
        <ser>
          <idx val="0"/>
          <order val="0"/>
          <tx>
            <strRef>
              <f>'日別集計'!B1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'日別集計'!$A$2:$A$16</f>
            </numRef>
          </cat>
          <val>
            <numRef>
              <f>'日別集計'!$B$2:$B$16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注文日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売上金額 (円)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担当者別売上比較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'担当者別集計'!B1</f>
            </strRef>
          </tx>
          <spPr>
            <a:ln>
              <a:prstDash val="solid"/>
            </a:ln>
          </spPr>
          <cat>
            <numRef>
              <f>'担当者別集計'!$A$2:$A$6</f>
            </numRef>
          </cat>
          <val>
            <numRef>
              <f>'担当者別集計'!$B$2:$B$6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担当者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売上金額 (円)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カテゴリ別売上比較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'カテゴリ別集計'!B1</f>
            </strRef>
          </tx>
          <spPr>
            <a:ln>
              <a:prstDash val="solid"/>
            </a:ln>
          </spPr>
          <cat>
            <numRef>
              <f>'カテゴリ別集計'!$A$2:$A$5</f>
            </numRef>
          </cat>
          <val>
            <numRef>
              <f>'カテゴリ別集計'!$B$2:$B$5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商品カテゴリ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売上金額 (円)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23" customWidth="1" min="4" max="4"/>
    <col width="12" customWidth="1" min="5" max="5"/>
    <col width="22" customWidth="1" min="6" max="6"/>
    <col width="13" customWidth="1" min="7" max="7"/>
    <col width="16" customWidth="1" min="8" max="8"/>
    <col width="23" customWidth="1" min="9" max="9"/>
    <col width="12" customWidth="1" min="10" max="10"/>
  </cols>
  <sheetData>
    <row r="1" ht="32" customHeight="1">
      <c r="A1" s="1" t="inlineStr">
        <is>
          <t>業務売上集計サマリーレポート</t>
        </is>
      </c>
    </row>
    <row r="2"/>
    <row r="3" ht="20" customHeight="1">
      <c r="B3" s="2" t="inlineStr">
        <is>
          <t>総売上</t>
        </is>
      </c>
      <c r="D3" s="2" t="inlineStr">
        <is>
          <t>総販売数量</t>
        </is>
      </c>
      <c r="F3" s="2" t="inlineStr">
        <is>
          <t>注文件数</t>
        </is>
      </c>
      <c r="H3" s="2" t="inlineStr">
        <is>
          <t>平均注文金額</t>
        </is>
      </c>
    </row>
    <row r="4" ht="28" customHeight="1">
      <c r="B4" s="3" t="n">
        <v>3666000</v>
      </c>
      <c r="D4" s="4" t="n">
        <v>100</v>
      </c>
      <c r="F4" s="5" t="n">
        <v>40</v>
      </c>
      <c r="H4" s="3" t="n">
        <v>91650</v>
      </c>
    </row>
    <row r="5"/>
    <row r="6"/>
    <row r="7">
      <c r="A7" s="6" t="inlineStr">
        <is>
          <t>【担当者別売上】</t>
        </is>
      </c>
      <c r="F7" s="6" t="inlineStr">
        <is>
          <t>【カテゴリ別売上】</t>
        </is>
      </c>
    </row>
    <row r="8">
      <c r="A8" s="7" t="inlineStr">
        <is>
          <t>担当者</t>
        </is>
      </c>
      <c r="B8" s="7" t="inlineStr">
        <is>
          <t>売上金額</t>
        </is>
      </c>
      <c r="C8" s="7" t="inlineStr">
        <is>
          <t>数量</t>
        </is>
      </c>
      <c r="D8" s="7" t="inlineStr">
        <is>
          <t>売上構成比(%)</t>
        </is>
      </c>
      <c r="F8" s="7" t="inlineStr">
        <is>
          <t>商品カテゴリ</t>
        </is>
      </c>
      <c r="G8" s="7" t="inlineStr">
        <is>
          <t>売上金額</t>
        </is>
      </c>
      <c r="H8" s="7" t="inlineStr">
        <is>
          <t>数量</t>
        </is>
      </c>
      <c r="I8" s="7" t="inlineStr">
        <is>
          <t>売上構成比(%)</t>
        </is>
      </c>
    </row>
    <row r="9">
      <c r="A9" s="8" t="inlineStr">
        <is>
          <t>田中 裕子</t>
        </is>
      </c>
      <c r="B9" s="9" t="n">
        <v>914000</v>
      </c>
      <c r="C9" s="10" t="n">
        <v>19</v>
      </c>
      <c r="D9" s="11" t="n">
        <v>0.249</v>
      </c>
      <c r="F9" s="8" t="inlineStr">
        <is>
          <t>電子機器</t>
        </is>
      </c>
      <c r="G9" s="9" t="n">
        <v>1520000</v>
      </c>
      <c r="H9" s="10" t="n">
        <v>54</v>
      </c>
      <c r="I9" s="11" t="n">
        <v>0.415</v>
      </c>
    </row>
    <row r="10">
      <c r="A10" s="8" t="inlineStr">
        <is>
          <t>伊藤 誠</t>
        </is>
      </c>
      <c r="B10" s="9" t="n">
        <v>887000</v>
      </c>
      <c r="C10" s="10" t="n">
        <v>22</v>
      </c>
      <c r="D10" s="11" t="n">
        <v>0.242</v>
      </c>
      <c r="F10" s="8" t="inlineStr">
        <is>
          <t>サービス</t>
        </is>
      </c>
      <c r="G10" s="9" t="n">
        <v>1100000</v>
      </c>
      <c r="H10" s="10" t="n">
        <v>5</v>
      </c>
      <c r="I10" s="11" t="n">
        <v>0.3</v>
      </c>
    </row>
    <row r="11">
      <c r="A11" s="8" t="inlineStr">
        <is>
          <t>佐藤 拓也</t>
        </is>
      </c>
      <c r="B11" s="9" t="n">
        <v>793000</v>
      </c>
      <c r="C11" s="10" t="n">
        <v>19</v>
      </c>
      <c r="D11" s="11" t="n">
        <v>0.216</v>
      </c>
      <c r="F11" s="8" t="inlineStr">
        <is>
          <t>オフィス用品</t>
        </is>
      </c>
      <c r="G11" s="9" t="n">
        <v>544000</v>
      </c>
      <c r="H11" s="10" t="n">
        <v>28</v>
      </c>
      <c r="I11" s="11" t="n">
        <v>0.148</v>
      </c>
    </row>
    <row r="12">
      <c r="A12" s="8" t="inlineStr">
        <is>
          <t>鈴木 恵美</t>
        </is>
      </c>
      <c r="B12" s="9" t="n">
        <v>637000</v>
      </c>
      <c r="C12" s="10" t="n">
        <v>19</v>
      </c>
      <c r="D12" s="11" t="n">
        <v>0.174</v>
      </c>
      <c r="F12" s="8" t="inlineStr">
        <is>
          <t>ソフトウェア</t>
        </is>
      </c>
      <c r="G12" s="9" t="n">
        <v>502000</v>
      </c>
      <c r="H12" s="10" t="n">
        <v>13</v>
      </c>
      <c r="I12" s="11" t="n">
        <v>0.137</v>
      </c>
    </row>
    <row r="13">
      <c r="A13" s="8" t="inlineStr">
        <is>
          <t>高橋 健一</t>
        </is>
      </c>
      <c r="B13" s="9" t="n">
        <v>435000</v>
      </c>
      <c r="C13" s="10" t="n">
        <v>21</v>
      </c>
      <c r="D13" s="11" t="n">
        <v>0.119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28" customHeight="1">
      <c r="A1" s="12" t="inlineStr">
        <is>
          <t>注文日</t>
        </is>
      </c>
      <c r="B1" s="12" t="inlineStr">
        <is>
          <t>売上金額</t>
        </is>
      </c>
      <c r="C1" s="12" t="inlineStr">
        <is>
          <t>注文件数</t>
        </is>
      </c>
    </row>
    <row r="2">
      <c r="A2" s="13" t="inlineStr">
        <is>
          <t>2026-03-01</t>
        </is>
      </c>
      <c r="B2" s="9" t="n">
        <v>148000</v>
      </c>
      <c r="C2" s="10" t="n">
        <v>3</v>
      </c>
    </row>
    <row r="3">
      <c r="A3" s="13" t="inlineStr">
        <is>
          <t>2026-03-02</t>
        </is>
      </c>
      <c r="B3" s="9" t="n">
        <v>436000</v>
      </c>
      <c r="C3" s="10" t="n">
        <v>3</v>
      </c>
    </row>
    <row r="4">
      <c r="A4" s="13" t="inlineStr">
        <is>
          <t>2026-03-03</t>
        </is>
      </c>
      <c r="B4" s="9" t="n">
        <v>220000</v>
      </c>
      <c r="C4" s="10" t="n">
        <v>3</v>
      </c>
    </row>
    <row r="5">
      <c r="A5" s="13" t="inlineStr">
        <is>
          <t>2026-03-04</t>
        </is>
      </c>
      <c r="B5" s="9" t="n">
        <v>262000</v>
      </c>
      <c r="C5" s="10" t="n">
        <v>3</v>
      </c>
    </row>
    <row r="6">
      <c r="A6" s="13" t="inlineStr">
        <is>
          <t>2026-03-05</t>
        </is>
      </c>
      <c r="B6" s="9" t="n">
        <v>382000</v>
      </c>
      <c r="C6" s="10" t="n">
        <v>3</v>
      </c>
    </row>
    <row r="7">
      <c r="A7" s="13" t="inlineStr">
        <is>
          <t>2026-03-06</t>
        </is>
      </c>
      <c r="B7" s="9" t="n">
        <v>182000</v>
      </c>
      <c r="C7" s="10" t="n">
        <v>3</v>
      </c>
    </row>
    <row r="8">
      <c r="A8" s="13" t="inlineStr">
        <is>
          <t>2026-03-07</t>
        </is>
      </c>
      <c r="B8" s="9" t="n">
        <v>460000</v>
      </c>
      <c r="C8" s="10" t="n">
        <v>2</v>
      </c>
    </row>
    <row r="9">
      <c r="A9" s="13" t="inlineStr">
        <is>
          <t>2026-03-08</t>
        </is>
      </c>
      <c r="B9" s="9" t="n">
        <v>174000</v>
      </c>
      <c r="C9" s="10" t="n">
        <v>2</v>
      </c>
    </row>
    <row r="10">
      <c r="A10" s="13" t="inlineStr">
        <is>
          <t>2026-03-09</t>
        </is>
      </c>
      <c r="B10" s="9" t="n">
        <v>116000</v>
      </c>
      <c r="C10" s="10" t="n">
        <v>3</v>
      </c>
    </row>
    <row r="11">
      <c r="A11" s="13" t="inlineStr">
        <is>
          <t>2026-03-10</t>
        </is>
      </c>
      <c r="B11" s="9" t="n">
        <v>116000</v>
      </c>
      <c r="C11" s="10" t="n">
        <v>3</v>
      </c>
    </row>
    <row r="12">
      <c r="A12" s="13" t="inlineStr">
        <is>
          <t>2026-03-11</t>
        </is>
      </c>
      <c r="B12" s="9" t="n">
        <v>236000</v>
      </c>
      <c r="C12" s="10" t="n">
        <v>2</v>
      </c>
    </row>
    <row r="13">
      <c r="A13" s="13" t="inlineStr">
        <is>
          <t>2026-03-12</t>
        </is>
      </c>
      <c r="B13" s="9" t="n">
        <v>177000</v>
      </c>
      <c r="C13" s="10" t="n">
        <v>2</v>
      </c>
    </row>
    <row r="14">
      <c r="A14" s="13" t="inlineStr">
        <is>
          <t>2026-03-13</t>
        </is>
      </c>
      <c r="B14" s="9" t="n">
        <v>100000</v>
      </c>
      <c r="C14" s="10" t="n">
        <v>2</v>
      </c>
    </row>
    <row r="15">
      <c r="A15" s="13" t="inlineStr">
        <is>
          <t>2026-03-14</t>
        </is>
      </c>
      <c r="B15" s="9" t="n">
        <v>520000</v>
      </c>
      <c r="C15" s="10" t="n">
        <v>2</v>
      </c>
    </row>
    <row r="16">
      <c r="A16" s="13" t="inlineStr">
        <is>
          <t>2026-03-15</t>
        </is>
      </c>
      <c r="B16" s="9" t="n">
        <v>137000</v>
      </c>
      <c r="C16" s="10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3" customWidth="1" min="4" max="4"/>
  </cols>
  <sheetData>
    <row r="1" ht="28" customHeight="1">
      <c r="A1" s="12" t="inlineStr">
        <is>
          <t>担当者</t>
        </is>
      </c>
      <c r="B1" s="12" t="inlineStr">
        <is>
          <t>売上金額</t>
        </is>
      </c>
      <c r="C1" s="12" t="inlineStr">
        <is>
          <t>数量</t>
        </is>
      </c>
      <c r="D1" s="12" t="inlineStr">
        <is>
          <t>売上構成比(%)</t>
        </is>
      </c>
    </row>
    <row r="2">
      <c r="A2" s="8" t="inlineStr">
        <is>
          <t>田中 裕子</t>
        </is>
      </c>
      <c r="B2" s="9" t="n">
        <v>914000</v>
      </c>
      <c r="C2" s="10" t="n">
        <v>19</v>
      </c>
      <c r="D2" s="11" t="n">
        <v>0.249</v>
      </c>
    </row>
    <row r="3">
      <c r="A3" s="8" t="inlineStr">
        <is>
          <t>伊藤 誠</t>
        </is>
      </c>
      <c r="B3" s="9" t="n">
        <v>887000</v>
      </c>
      <c r="C3" s="10" t="n">
        <v>22</v>
      </c>
      <c r="D3" s="11" t="n">
        <v>0.242</v>
      </c>
    </row>
    <row r="4">
      <c r="A4" s="8" t="inlineStr">
        <is>
          <t>佐藤 拓也</t>
        </is>
      </c>
      <c r="B4" s="9" t="n">
        <v>793000</v>
      </c>
      <c r="C4" s="10" t="n">
        <v>19</v>
      </c>
      <c r="D4" s="11" t="n">
        <v>0.216</v>
      </c>
    </row>
    <row r="5">
      <c r="A5" s="8" t="inlineStr">
        <is>
          <t>鈴木 恵美</t>
        </is>
      </c>
      <c r="B5" s="9" t="n">
        <v>637000</v>
      </c>
      <c r="C5" s="10" t="n">
        <v>19</v>
      </c>
      <c r="D5" s="11" t="n">
        <v>0.174</v>
      </c>
    </row>
    <row r="6">
      <c r="A6" s="8" t="inlineStr">
        <is>
          <t>高橋 健一</t>
        </is>
      </c>
      <c r="B6" s="9" t="n">
        <v>435000</v>
      </c>
      <c r="C6" s="10" t="n">
        <v>21</v>
      </c>
      <c r="D6" s="11" t="n">
        <v>0.119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3" customWidth="1" min="4" max="4"/>
  </cols>
  <sheetData>
    <row r="1" ht="28" customHeight="1">
      <c r="A1" s="12" t="inlineStr">
        <is>
          <t>商品カテゴリ</t>
        </is>
      </c>
      <c r="B1" s="12" t="inlineStr">
        <is>
          <t>売上金額</t>
        </is>
      </c>
      <c r="C1" s="12" t="inlineStr">
        <is>
          <t>数量</t>
        </is>
      </c>
      <c r="D1" s="12" t="inlineStr">
        <is>
          <t>売上構成比(%)</t>
        </is>
      </c>
    </row>
    <row r="2">
      <c r="A2" s="8" t="inlineStr">
        <is>
          <t>電子機器</t>
        </is>
      </c>
      <c r="B2" s="9" t="n">
        <v>1520000</v>
      </c>
      <c r="C2" s="10" t="n">
        <v>54</v>
      </c>
      <c r="D2" s="11" t="n">
        <v>0.415</v>
      </c>
    </row>
    <row r="3">
      <c r="A3" s="8" t="inlineStr">
        <is>
          <t>サービス</t>
        </is>
      </c>
      <c r="B3" s="9" t="n">
        <v>1100000</v>
      </c>
      <c r="C3" s="10" t="n">
        <v>5</v>
      </c>
      <c r="D3" s="11" t="n">
        <v>0.3</v>
      </c>
    </row>
    <row r="4">
      <c r="A4" s="8" t="inlineStr">
        <is>
          <t>オフィス用品</t>
        </is>
      </c>
      <c r="B4" s="9" t="n">
        <v>544000</v>
      </c>
      <c r="C4" s="10" t="n">
        <v>28</v>
      </c>
      <c r="D4" s="11" t="n">
        <v>0.148</v>
      </c>
    </row>
    <row r="5">
      <c r="A5" s="8" t="inlineStr">
        <is>
          <t>ソフトウェア</t>
        </is>
      </c>
      <c r="B5" s="9" t="n">
        <v>502000</v>
      </c>
      <c r="C5" s="10" t="n">
        <v>13</v>
      </c>
      <c r="D5" s="11" t="n">
        <v>0.137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12" customWidth="1" min="4" max="4"/>
  </cols>
  <sheetData>
    <row r="1" ht="28" customHeight="1">
      <c r="A1" s="12" t="inlineStr">
        <is>
          <t>商品名</t>
        </is>
      </c>
      <c r="B1" s="12" t="inlineStr">
        <is>
          <t>商品カテゴリ</t>
        </is>
      </c>
      <c r="C1" s="12" t="inlineStr">
        <is>
          <t>売上金額</t>
        </is>
      </c>
      <c r="D1" s="12" t="inlineStr">
        <is>
          <t>数量</t>
        </is>
      </c>
    </row>
    <row r="2">
      <c r="A2" s="8" t="inlineStr">
        <is>
          <t>ハイエンドノートPC</t>
        </is>
      </c>
      <c r="B2" s="8" t="inlineStr">
        <is>
          <t>電子機器</t>
        </is>
      </c>
      <c r="C2" s="9" t="n">
        <v>880000</v>
      </c>
      <c r="D2" s="10" t="n">
        <v>4</v>
      </c>
    </row>
    <row r="3">
      <c r="A3" s="8" t="inlineStr">
        <is>
          <t>クラウド導入コンサルティング</t>
        </is>
      </c>
      <c r="B3" s="8" t="inlineStr">
        <is>
          <t>サービス</t>
        </is>
      </c>
      <c r="C3" s="9" t="n">
        <v>600000</v>
      </c>
      <c r="D3" s="10" t="n">
        <v>2</v>
      </c>
    </row>
    <row r="4">
      <c r="A4" s="8" t="inlineStr">
        <is>
          <t>年間保守サポートパック</t>
        </is>
      </c>
      <c r="B4" s="8" t="inlineStr">
        <is>
          <t>サービス</t>
        </is>
      </c>
      <c r="C4" s="9" t="n">
        <v>300000</v>
      </c>
      <c r="D4" s="10" t="n">
        <v>2</v>
      </c>
    </row>
    <row r="5">
      <c r="A5" s="8" t="inlineStr">
        <is>
          <t>グループウェア年間契約</t>
        </is>
      </c>
      <c r="B5" s="8" t="inlineStr">
        <is>
          <t>ソフトウェア</t>
        </is>
      </c>
      <c r="C5" s="9" t="n">
        <v>270000</v>
      </c>
      <c r="D5" s="10" t="n">
        <v>3</v>
      </c>
    </row>
    <row r="6">
      <c r="A6" s="8" t="inlineStr">
        <is>
          <t>4K液晶モニター</t>
        </is>
      </c>
      <c r="B6" s="8" t="inlineStr">
        <is>
          <t>電子機器</t>
        </is>
      </c>
      <c r="C6" s="9" t="n">
        <v>264000</v>
      </c>
      <c r="D6" s="10" t="n">
        <v>6</v>
      </c>
    </row>
    <row r="7">
      <c r="A7" s="8" t="inlineStr">
        <is>
          <t>オンサイト研修サービス</t>
        </is>
      </c>
      <c r="B7" s="8" t="inlineStr">
        <is>
          <t>サービス</t>
        </is>
      </c>
      <c r="C7" s="9" t="n">
        <v>200000</v>
      </c>
      <c r="D7" s="10" t="n">
        <v>1</v>
      </c>
    </row>
    <row r="8">
      <c r="A8" s="8" t="inlineStr">
        <is>
          <t>昇降式デスク</t>
        </is>
      </c>
      <c r="B8" s="8" t="inlineStr">
        <is>
          <t>オフィス用品</t>
        </is>
      </c>
      <c r="C8" s="9" t="n">
        <v>192000</v>
      </c>
      <c r="D8" s="10" t="n">
        <v>4</v>
      </c>
    </row>
    <row r="9">
      <c r="A9" s="8" t="inlineStr">
        <is>
          <t>エルゴノミクスチェア</t>
        </is>
      </c>
      <c r="B9" s="8" t="inlineStr">
        <is>
          <t>オフィス用品</t>
        </is>
      </c>
      <c r="C9" s="9" t="n">
        <v>180000</v>
      </c>
      <c r="D9" s="10" t="n">
        <v>4</v>
      </c>
    </row>
    <row r="10">
      <c r="A10" s="8" t="inlineStr">
        <is>
          <t>会計ソフトライセンス</t>
        </is>
      </c>
      <c r="B10" s="8" t="inlineStr">
        <is>
          <t>ソフトウェア</t>
        </is>
      </c>
      <c r="C10" s="9" t="n">
        <v>160000</v>
      </c>
      <c r="D10" s="10" t="n">
        <v>4</v>
      </c>
    </row>
    <row r="11">
      <c r="A11" s="8" t="inlineStr">
        <is>
          <t>Webカメラ 4K</t>
        </is>
      </c>
      <c r="B11" s="8" t="inlineStr">
        <is>
          <t>電子機器</t>
        </is>
      </c>
      <c r="C11" s="9" t="n">
        <v>126000</v>
      </c>
      <c r="D11" s="10" t="n">
        <v>9</v>
      </c>
    </row>
    <row r="12">
      <c r="A12" s="8" t="inlineStr">
        <is>
          <t>キャビネットセット</t>
        </is>
      </c>
      <c r="B12" s="8" t="inlineStr">
        <is>
          <t>オフィス用品</t>
        </is>
      </c>
      <c r="C12" s="9" t="n">
        <v>114000</v>
      </c>
      <c r="D12" s="10" t="n">
        <v>3</v>
      </c>
    </row>
    <row r="13">
      <c r="A13" s="8" t="inlineStr">
        <is>
          <t>ノイズキャンセリングヘッドセット</t>
        </is>
      </c>
      <c r="B13" s="8" t="inlineStr">
        <is>
          <t>電子機器</t>
        </is>
      </c>
      <c r="C13" s="9" t="n">
        <v>90000</v>
      </c>
      <c r="D13" s="10" t="n">
        <v>5</v>
      </c>
    </row>
    <row r="14">
      <c r="A14" s="8" t="inlineStr">
        <is>
          <t>セキュリティソフト5台版</t>
        </is>
      </c>
      <c r="B14" s="8" t="inlineStr">
        <is>
          <t>ソフトウェア</t>
        </is>
      </c>
      <c r="C14" s="9" t="n">
        <v>72000</v>
      </c>
      <c r="D14" s="10" t="n">
        <v>6</v>
      </c>
    </row>
    <row r="15">
      <c r="A15" s="8" t="inlineStr">
        <is>
          <t>USB-Cドッキングステーション</t>
        </is>
      </c>
      <c r="B15" s="8" t="inlineStr">
        <is>
          <t>電子機器</t>
        </is>
      </c>
      <c r="C15" s="9" t="n">
        <v>64000</v>
      </c>
      <c r="D15" s="10" t="n">
        <v>8</v>
      </c>
    </row>
    <row r="16">
      <c r="A16" s="8" t="inlineStr">
        <is>
          <t>メカニカルキーボード</t>
        </is>
      </c>
      <c r="B16" s="8" t="inlineStr">
        <is>
          <t>電子機器</t>
        </is>
      </c>
      <c r="C16" s="9" t="n">
        <v>48000</v>
      </c>
      <c r="D16" s="10" t="n">
        <v>6</v>
      </c>
    </row>
    <row r="17">
      <c r="A17" s="8" t="inlineStr">
        <is>
          <t>ワイヤレスマウス</t>
        </is>
      </c>
      <c r="B17" s="8" t="inlineStr">
        <is>
          <t>電子機器</t>
        </is>
      </c>
      <c r="C17" s="9" t="n">
        <v>48000</v>
      </c>
      <c r="D17" s="10" t="n">
        <v>16</v>
      </c>
    </row>
    <row r="18">
      <c r="A18" s="8" t="inlineStr">
        <is>
          <t>事務用品詰合せセット</t>
        </is>
      </c>
      <c r="B18" s="8" t="inlineStr">
        <is>
          <t>オフィス用品</t>
        </is>
      </c>
      <c r="C18" s="9" t="n">
        <v>30000</v>
      </c>
      <c r="D18" s="10" t="n">
        <v>15</v>
      </c>
    </row>
    <row r="19">
      <c r="A19" s="8" t="inlineStr">
        <is>
          <t>ホワイトボード大型</t>
        </is>
      </c>
      <c r="B19" s="8" t="inlineStr">
        <is>
          <t>オフィス用品</t>
        </is>
      </c>
      <c r="C19" s="9" t="n">
        <v>28000</v>
      </c>
      <c r="D19" s="1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8" customHeight="1">
      <c r="A1" s="14" t="inlineStr">
        <is>
          <t>元行番号</t>
        </is>
      </c>
      <c r="B1" s="14" t="inlineStr">
        <is>
          <t>注文日</t>
        </is>
      </c>
      <c r="C1" s="14" t="inlineStr">
        <is>
          <t>注文番号</t>
        </is>
      </c>
      <c r="D1" s="14" t="inlineStr">
        <is>
          <t>商品カテゴリ</t>
        </is>
      </c>
      <c r="E1" s="14" t="inlineStr">
        <is>
          <t>商品名</t>
        </is>
      </c>
      <c r="F1" s="14" t="inlineStr">
        <is>
          <t>数量</t>
        </is>
      </c>
      <c r="G1" s="14" t="inlineStr">
        <is>
          <t>売上金額</t>
        </is>
      </c>
      <c r="H1" s="14" t="inlineStr">
        <is>
          <t>担当者</t>
        </is>
      </c>
      <c r="I1" s="14" t="inlineStr">
        <is>
          <t>エラー理由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2026-09-08T12:22:33Z</dcterms:created>
  <dcterms:modified xsi:type="dcterms:W3CDTF">2026-09-08T12:22:33Z</dcterms:modified>
</cp:coreProperties>
</file>